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ugii\Downloads\"/>
    </mc:Choice>
  </mc:AlternateContent>
  <xr:revisionPtr revIDLastSave="0" documentId="8_{A4EDBA48-98D8-4E4B-BCBA-1488A2B496F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Matrix_1" sheetId="2" r:id="rId2"/>
    <sheet name="Matrix_2" sheetId="3" r:id="rId3"/>
    <sheet name="Matrix_3" sheetId="4" r:id="rId4"/>
    <sheet name="Parameter Referenc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C6" i="2"/>
  <c r="I11" i="4"/>
  <c r="H11" i="4"/>
  <c r="G11" i="4"/>
  <c r="F11" i="4"/>
  <c r="E11" i="4"/>
  <c r="D11" i="4"/>
  <c r="C11" i="4"/>
  <c r="H10" i="4"/>
  <c r="G10" i="4"/>
  <c r="F10" i="4"/>
  <c r="E10" i="4"/>
  <c r="D10" i="4"/>
  <c r="C10" i="4"/>
  <c r="G9" i="4"/>
  <c r="F9" i="4"/>
  <c r="E9" i="4"/>
  <c r="D9" i="4"/>
  <c r="C9" i="4"/>
  <c r="F8" i="4"/>
  <c r="E8" i="4"/>
  <c r="D8" i="4"/>
  <c r="C8" i="4"/>
  <c r="E7" i="4"/>
  <c r="D7" i="4"/>
  <c r="C7" i="4"/>
  <c r="D6" i="4"/>
  <c r="C6" i="4"/>
  <c r="C5" i="4"/>
  <c r="I11" i="3"/>
  <c r="H11" i="3"/>
  <c r="G11" i="3"/>
  <c r="F11" i="3"/>
  <c r="E11" i="3"/>
  <c r="D11" i="3"/>
  <c r="C11" i="3"/>
  <c r="H10" i="3"/>
  <c r="G10" i="3"/>
  <c r="F10" i="3"/>
  <c r="E10" i="3"/>
  <c r="D10" i="3"/>
  <c r="C10" i="3"/>
  <c r="G9" i="3"/>
  <c r="F9" i="3"/>
  <c r="E9" i="3"/>
  <c r="D9" i="3"/>
  <c r="C9" i="3"/>
  <c r="F8" i="3"/>
  <c r="E8" i="3"/>
  <c r="D8" i="3"/>
  <c r="C8" i="3"/>
  <c r="E7" i="3"/>
  <c r="D7" i="3"/>
  <c r="C7" i="3"/>
  <c r="D6" i="3"/>
  <c r="C6" i="3"/>
  <c r="C5" i="3"/>
  <c r="I11" i="2"/>
  <c r="H11" i="2"/>
  <c r="G11" i="2"/>
  <c r="F11" i="2"/>
  <c r="E11" i="2"/>
  <c r="D11" i="2"/>
  <c r="C11" i="2"/>
  <c r="H10" i="2"/>
  <c r="G10" i="2"/>
  <c r="F10" i="2"/>
  <c r="E10" i="2"/>
  <c r="D10" i="2"/>
  <c r="C10" i="2"/>
  <c r="G9" i="2"/>
  <c r="F9" i="2"/>
  <c r="E9" i="2"/>
  <c r="D9" i="2"/>
  <c r="C9" i="2"/>
  <c r="F8" i="2"/>
  <c r="D8" i="2"/>
  <c r="C8" i="2"/>
  <c r="E7" i="2"/>
  <c r="D7" i="2"/>
  <c r="C7" i="2"/>
  <c r="E8" i="2" l="1"/>
</calcChain>
</file>

<file path=xl/sharedStrings.xml><?xml version="1.0" encoding="utf-8"?>
<sst xmlns="http://schemas.openxmlformats.org/spreadsheetml/2006/main" count="216" uniqueCount="82">
  <si>
    <t>AHP Pairwise Comparison Matrix  ·  Zone Efficiency Model  ·  Respondent Guide</t>
  </si>
  <si>
    <t>Please fill ONE response sheet only. Do not modify the grey diagonal or lower-triangle cells.</t>
  </si>
  <si>
    <t>WHAT IS AHP?</t>
  </si>
  <si>
    <t>The Analytic Hierarchy Process (AHP) is a decision-making method that converts expert judgement into mathematical weights. You compare parameters two-at-a-time and state which one matters more — and by how much. The software combines all comparisons into a consistent weight for each parameter.</t>
  </si>
  <si>
    <t>HOW TO FILL</t>
  </si>
  <si>
    <t>Go to the matrix sheet.
For every WHITE cell in the upper triangle, enter ONE value from the scale below.
Ask: 'Comparing ROW parameter vs COLUMN parameter — which is more important for measuring zone efficiency, and how much more?'
• If ROW is more important → enter 1, 2, 3, 5, 7, or 9  (higher = stronger preference)
• If COLUMN is more important → enter 1/3, 1/5, 1/7, or 1/9  (fractions are accepted)
• If both are equally important → enter 1
The grey cells fill automatically — do not touch them.</t>
  </si>
  <si>
    <t>EXAMPLE</t>
  </si>
  <si>
    <t>Row = 'Pick Rate Score'  vs  Column = 'Space Score'
If you believe pick speed is MODERATELY more important than space usage → enter 5.
If you believe space is SLIGHTLY more important than pick speed → enter 1/3.
If you think they are equally important → enter 1.</t>
  </si>
  <si>
    <t>CONSISTENCY</t>
  </si>
  <si>
    <t>After you submit, the model checks a Consistency Ratio (CR).
CR ≤ 0.10  ✅  Your judgements are mathematically consistent — great.
CR 0.10–0.20  ⚠️   Marginally acceptable — minor revision may help.
CR &gt; 0.20  ❌  Your judgements contradict each other — please revisit.
Example of inconsistency: A &gt; B, B &gt; C, but C &gt; A  (a circular ranking).</t>
  </si>
  <si>
    <t>AHP Pairwise Comparison Matrix  ·  (Respondent 1)</t>
  </si>
  <si>
    <t>Quick Reference: Saaty Scale</t>
  </si>
  <si>
    <t>Fill ONLY the yellow cells (upper triangle). Grey cells are locked/auto-filled. Diagonal = 1 (fixed).</t>
  </si>
  <si>
    <t>9 – Absolute</t>
  </si>
  <si>
    <t>One parameter is overwhelmingly more important</t>
  </si>
  <si>
    <t>Parameter  ▸</t>
  </si>
  <si>
    <t>Pick Rate Score</t>
  </si>
  <si>
    <t>Throughput Score</t>
  </si>
  <si>
    <t>Picker Performance</t>
  </si>
  <si>
    <t>Space Score</t>
  </si>
  <si>
    <t>Equipment Score</t>
  </si>
  <si>
    <t>Putaway Throughput</t>
  </si>
  <si>
    <t>Dock-to-Stock Score</t>
  </si>
  <si>
    <t>Putaway Accuracy</t>
  </si>
  <si>
    <t>7 – Strong</t>
  </si>
  <si>
    <t>One parameter is strongly more important</t>
  </si>
  <si>
    <t>5 – Moderate</t>
  </si>
  <si>
    <t>One parameter is moderately more important</t>
  </si>
  <si>
    <t>3 – Slight</t>
  </si>
  <si>
    <t>One parameter is slightly more important</t>
  </si>
  <si>
    <t>1 – Equal</t>
  </si>
  <si>
    <t>Both parameters are equally important</t>
  </si>
  <si>
    <t>1/3 – Slight (reverse)</t>
  </si>
  <si>
    <t>Column is slightly more important</t>
  </si>
  <si>
    <t>1/5 – Moderate (reverse)</t>
  </si>
  <si>
    <t>Column is moderately more important</t>
  </si>
  <si>
    <t>1/7 – Strong (reverse)</t>
  </si>
  <si>
    <t>Column is strongly more important</t>
  </si>
  <si>
    <t>1/9 – Absolute (reverse)</t>
  </si>
  <si>
    <t>Column is absolutely more important</t>
  </si>
  <si>
    <t>HOW TO READ:  Each cell (row i, col j) answers → 'How much more important is  ROW  than  COLUMN  for zone efficiency?'   Enter values from 1 to 9.  If COLUMN &gt; ROW, enter 1/3, 1/5, 1/7, or 1/9.   Diagonal = 1 (same parameter).  Lower triangle fills automatically.</t>
  </si>
  <si>
    <t>Parameter Definitions (for reference while filling)</t>
  </si>
  <si>
    <t>1. Pick Rate Score</t>
  </si>
  <si>
    <t>How fast pickers fulfil orders from this zone (pick trips per hour vs warehouse best).</t>
  </si>
  <si>
    <t>2. Throughput Score</t>
  </si>
  <si>
    <t>Volume of units moved per unit of picking time – measures flow capacity.</t>
  </si>
  <si>
    <t>3. Picker Performance</t>
  </si>
  <si>
    <t>Individual picker speed in the zone relative to their own personal baseline.</t>
  </si>
  <si>
    <t>4. Space Score</t>
  </si>
  <si>
    <t>Average space utilisation % – how well the zone's bin capacity is being used.</t>
  </si>
  <si>
    <t>5. Equipment Score</t>
  </si>
  <si>
    <t>Machine efficiency in the zone relative to each machine's own historical baseline.</t>
  </si>
  <si>
    <t>6. Putaway Throughput</t>
  </si>
  <si>
    <t>How quickly incoming stock is processed and placed (units per second, inbound).</t>
  </si>
  <si>
    <t>7. Dock-to-Stock Score</t>
  </si>
  <si>
    <t>Full dock-to-shelf time per unit – weighted lead time from dock gate to bin.</t>
  </si>
  <si>
    <t>8. Putaway Accuracy</t>
  </si>
  <si>
    <t>% of putaway transactions placed in the system-proposed bin.</t>
  </si>
  <si>
    <t>AHP Pairwise Comparison Matrix  ·  (Respondent 2)</t>
  </si>
  <si>
    <t>AHP Pairwise Comparison Matrix  ·  (Respondent 3)</t>
  </si>
  <si>
    <t>Zone Efficiency Model  ·  Parameter Reference Card</t>
  </si>
  <si>
    <t>#</t>
  </si>
  <si>
    <t>Parameter (Short)</t>
  </si>
  <si>
    <t>Parameter (Full Name)</t>
  </si>
  <si>
    <t>Description</t>
  </si>
  <si>
    <t>1</t>
  </si>
  <si>
    <t>Zone_Pick_Rate_Score</t>
  </si>
  <si>
    <t>2</t>
  </si>
  <si>
    <t>Zone_Throughput_Score</t>
  </si>
  <si>
    <t>3</t>
  </si>
  <si>
    <t>Zone_Picker_Performance_Score</t>
  </si>
  <si>
    <t>4</t>
  </si>
  <si>
    <t>Space_Score</t>
  </si>
  <si>
    <t>5</t>
  </si>
  <si>
    <t>Zone_Equipment_Score</t>
  </si>
  <si>
    <t>6</t>
  </si>
  <si>
    <t>Putaway_Throughput_Score</t>
  </si>
  <si>
    <t>7</t>
  </si>
  <si>
    <t>Dock_to_Stock_Score</t>
  </si>
  <si>
    <t>8</t>
  </si>
  <si>
    <t>Putaway_Location_Accuracy_Score</t>
  </si>
  <si>
    <t>Outbound parameters (1–5): measure how well the zone serves pick orders.    Inbound parameters (6–8): measure how well the zone absorbs incoming stock.    Both dimensions matter for slot optimisation.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</si>
</sst>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</font>
    <font>
      <b/>
      <sz val="13"/>
      <color indexed="65"/>
      <name val="Arial"/>
    </font>
    <font>
      <sz val="10"/>
      <color rgb="FFC00000"/>
      <name val="Arial"/>
    </font>
    <font>
      <b/>
      <sz val="10"/>
      <color indexed="65"/>
      <name val="Arial"/>
    </font>
    <font>
      <sz val="10"/>
      <color indexed="64"/>
      <name val="Arial"/>
    </font>
    <font>
      <b/>
      <sz val="11"/>
      <color indexed="65"/>
      <name val="Arial"/>
    </font>
    <font>
      <sz val="10"/>
      <color rgb="FF7F7F7F"/>
      <name val="Arial"/>
    </font>
    <font>
      <b/>
      <sz val="10"/>
      <color indexed="64"/>
      <name val="Arial"/>
    </font>
    <font>
      <b/>
      <sz val="10"/>
      <color rgb="FF7F7F7F"/>
      <name val="Arial"/>
    </font>
    <font>
      <b/>
      <sz val="11"/>
      <color indexed="64"/>
      <name val="Arial"/>
    </font>
    <font>
      <sz val="9"/>
      <color rgb="FF404040"/>
      <name val="Arial"/>
    </font>
    <font>
      <sz val="10"/>
      <color rgb="FF40404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3864"/>
        <bgColor indexed="62"/>
      </patternFill>
    </fill>
    <fill>
      <patternFill patternType="solid">
        <fgColor rgb="FFFCE4D6"/>
        <bgColor rgb="FFFFF2CC"/>
      </patternFill>
    </fill>
    <fill>
      <patternFill patternType="solid">
        <fgColor rgb="FF2E75B6"/>
        <bgColor indexed="30"/>
      </patternFill>
    </fill>
    <fill>
      <patternFill patternType="solid">
        <fgColor rgb="FFD6E4F0"/>
        <bgColor rgb="FFD9D9D9"/>
      </patternFill>
    </fill>
    <fill>
      <patternFill patternType="solid">
        <fgColor rgb="FFF2F2F2"/>
        <bgColor rgb="FFEFEFEF"/>
      </patternFill>
    </fill>
    <fill>
      <patternFill patternType="solid">
        <fgColor rgb="FFC00000"/>
        <bgColor indexed="16"/>
      </patternFill>
    </fill>
    <fill>
      <patternFill patternType="solid">
        <fgColor rgb="FFE36C09"/>
        <bgColor indexed="52"/>
      </patternFill>
    </fill>
    <fill>
      <patternFill patternType="solid">
        <fgColor rgb="FFD9D9D9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F4B942"/>
        <bgColor indexed="52"/>
      </patternFill>
    </fill>
    <fill>
      <patternFill patternType="solid">
        <fgColor rgb="FFEFEFEF"/>
        <bgColor rgb="FFF2F2F2"/>
      </patternFill>
    </fill>
    <fill>
      <patternFill patternType="solid">
        <fgColor rgb="FF92D050"/>
        <bgColor rgb="FF70AD47"/>
      </patternFill>
    </fill>
    <fill>
      <patternFill patternType="solid">
        <fgColor rgb="FF2CA02C"/>
        <bgColor indexed="17"/>
      </patternFill>
    </fill>
    <fill>
      <patternFill patternType="solid">
        <fgColor indexed="65"/>
        <bgColor rgb="FFF2F2F2"/>
      </patternFill>
    </fill>
  </fills>
  <borders count="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4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wrapText="1"/>
    </xf>
    <xf numFmtId="0" fontId="7" fillId="8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 wrapText="1"/>
    </xf>
    <xf numFmtId="2" fontId="8" fillId="9" borderId="3" xfId="0" applyNumberFormat="1" applyFont="1" applyFill="1" applyBorder="1" applyAlignment="1">
      <alignment horizontal="center" vertical="center"/>
    </xf>
    <xf numFmtId="2" fontId="9" fillId="10" borderId="3" xfId="0" applyNumberFormat="1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2" fontId="6" fillId="12" borderId="3" xfId="0" applyNumberFormat="1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/>
    </xf>
    <xf numFmtId="0" fontId="7" fillId="15" borderId="3" xfId="0" applyFont="1" applyFill="1" applyBorder="1" applyAlignment="1">
      <alignment horizontal="left" vertical="center"/>
    </xf>
    <xf numFmtId="0" fontId="8" fillId="9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164" fontId="6" fillId="12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center" wrapText="1"/>
    </xf>
    <xf numFmtId="0" fontId="4" fillId="15" borderId="3" xfId="0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horizontal="left" vertical="center" wrapText="1"/>
    </xf>
    <xf numFmtId="0" fontId="4" fillId="1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C6"/>
  <sheetViews>
    <sheetView showGridLines="0" workbookViewId="0">
      <selection activeCell="A7" sqref="A7:XFD7"/>
    </sheetView>
  </sheetViews>
  <sheetFormatPr defaultColWidth="8.77734375" defaultRowHeight="14.4" x14ac:dyDescent="0.3"/>
  <cols>
    <col min="1" max="1" width="3" customWidth="1"/>
    <col min="2" max="2" width="28" customWidth="1"/>
    <col min="3" max="3" width="132.5546875" bestFit="1" customWidth="1"/>
    <col min="4" max="4" width="3" customWidth="1"/>
  </cols>
  <sheetData>
    <row r="1" spans="2:3" ht="36" customHeight="1" x14ac:dyDescent="0.3">
      <c r="B1" s="28" t="s">
        <v>0</v>
      </c>
      <c r="C1" s="28"/>
    </row>
    <row r="2" spans="2:3" ht="21.75" customHeight="1" x14ac:dyDescent="0.3">
      <c r="B2" s="34" t="s">
        <v>1</v>
      </c>
      <c r="C2" s="34"/>
    </row>
    <row r="3" spans="2:3" ht="30" customHeight="1" x14ac:dyDescent="0.3">
      <c r="B3" s="1" t="s">
        <v>2</v>
      </c>
      <c r="C3" s="2" t="s">
        <v>3</v>
      </c>
    </row>
    <row r="4" spans="2:3" ht="92.4" x14ac:dyDescent="0.3">
      <c r="B4" s="1" t="s">
        <v>4</v>
      </c>
      <c r="C4" s="2" t="s">
        <v>5</v>
      </c>
    </row>
    <row r="5" spans="2:3" ht="52.8" x14ac:dyDescent="0.3">
      <c r="B5" s="1" t="s">
        <v>6</v>
      </c>
      <c r="C5" s="2" t="s">
        <v>7</v>
      </c>
    </row>
    <row r="6" spans="2:3" ht="66" x14ac:dyDescent="0.3">
      <c r="B6" s="3" t="s">
        <v>8</v>
      </c>
      <c r="C6" s="2" t="s">
        <v>9</v>
      </c>
    </row>
  </sheetData>
  <mergeCells count="2">
    <mergeCell ref="B1:C1"/>
    <mergeCell ref="B2:C2"/>
  </mergeCells>
  <pageMargins left="0.75" right="0.75" top="1" bottom="1" header="0.51181102362204689" footer="0.51181102362204689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B1:N24"/>
  <sheetViews>
    <sheetView showGridLines="0" topLeftCell="A3" workbookViewId="0">
      <selection activeCell="M7" sqref="M7"/>
    </sheetView>
  </sheetViews>
  <sheetFormatPr defaultColWidth="8.77734375" defaultRowHeight="14.4" x14ac:dyDescent="0.3"/>
  <cols>
    <col min="1" max="1" width="3" customWidth="1"/>
    <col min="2" max="2" width="26" customWidth="1"/>
    <col min="3" max="10" width="14" customWidth="1"/>
    <col min="11" max="11" width="3" customWidth="1"/>
    <col min="13" max="13" width="21.77734375" bestFit="1"/>
    <col min="14" max="14" width="41.44140625" bestFit="1"/>
  </cols>
  <sheetData>
    <row r="1" spans="2:14" ht="33.75" customHeight="1" x14ac:dyDescent="0.3">
      <c r="B1" s="28" t="s">
        <v>10</v>
      </c>
      <c r="C1" s="28"/>
      <c r="D1" s="28"/>
      <c r="E1" s="28"/>
      <c r="F1" s="28"/>
      <c r="G1" s="28"/>
      <c r="H1" s="28"/>
      <c r="I1" s="28"/>
      <c r="J1" s="28"/>
      <c r="M1" s="29" t="s">
        <v>11</v>
      </c>
      <c r="N1" s="30"/>
    </row>
    <row r="2" spans="2:14" ht="19.5" customHeight="1" x14ac:dyDescent="0.3">
      <c r="B2" s="31" t="s">
        <v>12</v>
      </c>
      <c r="C2" s="31"/>
      <c r="D2" s="31"/>
      <c r="E2" s="31"/>
      <c r="F2" s="31"/>
      <c r="G2" s="31"/>
      <c r="H2" s="31"/>
      <c r="I2" s="31"/>
      <c r="J2" s="31"/>
      <c r="M2" s="4" t="s">
        <v>13</v>
      </c>
      <c r="N2" s="5" t="s">
        <v>14</v>
      </c>
    </row>
    <row r="3" spans="2:14" ht="72" customHeight="1" x14ac:dyDescent="0.3">
      <c r="B3" s="1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M3" s="7" t="s">
        <v>24</v>
      </c>
      <c r="N3" s="5" t="s">
        <v>25</v>
      </c>
    </row>
    <row r="4" spans="2:14" ht="27.75" customHeight="1" x14ac:dyDescent="0.3">
      <c r="B4" s="8" t="s">
        <v>16</v>
      </c>
      <c r="C4" s="9">
        <v>1</v>
      </c>
      <c r="D4" s="10">
        <v>0.2</v>
      </c>
      <c r="E4" s="10">
        <v>7</v>
      </c>
      <c r="F4" s="10">
        <v>1</v>
      </c>
      <c r="G4" s="10">
        <v>7</v>
      </c>
      <c r="H4" s="10">
        <v>1</v>
      </c>
      <c r="I4" s="10">
        <v>3</v>
      </c>
      <c r="J4" s="10">
        <v>1</v>
      </c>
      <c r="M4" s="11" t="s">
        <v>26</v>
      </c>
      <c r="N4" s="5" t="s">
        <v>27</v>
      </c>
    </row>
    <row r="5" spans="2:14" ht="27.75" customHeight="1" x14ac:dyDescent="0.3">
      <c r="B5" s="8" t="s">
        <v>17</v>
      </c>
      <c r="C5" s="12">
        <v>0.2</v>
      </c>
      <c r="D5" s="9">
        <v>1</v>
      </c>
      <c r="E5" s="10">
        <v>7</v>
      </c>
      <c r="F5" s="10">
        <v>1</v>
      </c>
      <c r="G5" s="10">
        <v>7</v>
      </c>
      <c r="H5" s="10">
        <v>1</v>
      </c>
      <c r="I5" s="10">
        <v>5</v>
      </c>
      <c r="J5" s="10">
        <v>1</v>
      </c>
      <c r="M5" s="13" t="s">
        <v>28</v>
      </c>
      <c r="N5" s="5" t="s">
        <v>29</v>
      </c>
    </row>
    <row r="6" spans="2:14" ht="27.75" customHeight="1" x14ac:dyDescent="0.3">
      <c r="B6" s="8" t="s">
        <v>18</v>
      </c>
      <c r="C6" s="12">
        <f>IF(E4=0,"",1/E4)</f>
        <v>0.14285714285714285</v>
      </c>
      <c r="D6" s="12">
        <f>IF(E5=0,"",1/E5)</f>
        <v>0.14285714285714285</v>
      </c>
      <c r="E6" s="9">
        <v>1</v>
      </c>
      <c r="F6" s="10">
        <v>0.14285714285714285</v>
      </c>
      <c r="G6" s="10">
        <v>1</v>
      </c>
      <c r="H6" s="10">
        <v>0.14285714285714285</v>
      </c>
      <c r="I6" s="10">
        <v>0.2</v>
      </c>
      <c r="J6" s="10">
        <v>0.14285714285714285</v>
      </c>
      <c r="M6" s="14" t="s">
        <v>30</v>
      </c>
      <c r="N6" s="5" t="s">
        <v>31</v>
      </c>
    </row>
    <row r="7" spans="2:14" ht="27.75" customHeight="1" x14ac:dyDescent="0.3">
      <c r="B7" s="8" t="s">
        <v>19</v>
      </c>
      <c r="C7" s="12">
        <f>IF(F4=0,"",1/F4)</f>
        <v>1</v>
      </c>
      <c r="D7" s="12">
        <f>IF(F5=0,"",1/F5)</f>
        <v>1</v>
      </c>
      <c r="E7" s="12">
        <f>IF(F6=0,"",1/F6)</f>
        <v>7</v>
      </c>
      <c r="F7" s="9">
        <v>1</v>
      </c>
      <c r="G7" s="10">
        <v>7</v>
      </c>
      <c r="H7" s="10">
        <v>1</v>
      </c>
      <c r="I7" s="10">
        <v>3</v>
      </c>
      <c r="J7" s="10">
        <v>1</v>
      </c>
      <c r="M7" s="15" t="s">
        <v>32</v>
      </c>
      <c r="N7" s="5" t="s">
        <v>33</v>
      </c>
    </row>
    <row r="8" spans="2:14" ht="27.75" customHeight="1" x14ac:dyDescent="0.3">
      <c r="B8" s="8" t="s">
        <v>20</v>
      </c>
      <c r="C8" s="12">
        <f>IF(G4=0,"",1/G4)</f>
        <v>0.14285714285714285</v>
      </c>
      <c r="D8" s="12">
        <f>IF(G5=0,"",1/G5)</f>
        <v>0.14285714285714285</v>
      </c>
      <c r="E8" s="12">
        <f>IF(G6=0,"",1/G6)</f>
        <v>1</v>
      </c>
      <c r="F8" s="12">
        <f>IF(G7=0,"",1/G7)</f>
        <v>0.14285714285714285</v>
      </c>
      <c r="G8" s="9">
        <v>1</v>
      </c>
      <c r="H8" s="10">
        <v>0.2</v>
      </c>
      <c r="I8" s="10">
        <v>0.33333333333333331</v>
      </c>
      <c r="J8" s="10">
        <v>0.14285714285714285</v>
      </c>
      <c r="M8" s="15" t="s">
        <v>34</v>
      </c>
      <c r="N8" s="5" t="s">
        <v>35</v>
      </c>
    </row>
    <row r="9" spans="2:14" ht="27.75" customHeight="1" x14ac:dyDescent="0.3">
      <c r="B9" s="8" t="s">
        <v>21</v>
      </c>
      <c r="C9" s="12">
        <f>IF(H4=0,"",1/H4)</f>
        <v>1</v>
      </c>
      <c r="D9" s="12">
        <f>IF(H5=0,"",1/H5)</f>
        <v>1</v>
      </c>
      <c r="E9" s="12">
        <f>IF(H6=0,"",1/H6)</f>
        <v>7</v>
      </c>
      <c r="F9" s="12">
        <f>IF(H7=0,"",1/H7)</f>
        <v>1</v>
      </c>
      <c r="G9" s="12">
        <f>IF(H8=0,"",1/H8)</f>
        <v>5</v>
      </c>
      <c r="H9" s="9">
        <v>1</v>
      </c>
      <c r="I9" s="10">
        <v>3</v>
      </c>
      <c r="J9" s="10">
        <v>1</v>
      </c>
      <c r="M9" s="15" t="s">
        <v>36</v>
      </c>
      <c r="N9" s="5" t="s">
        <v>37</v>
      </c>
    </row>
    <row r="10" spans="2:14" ht="27.75" customHeight="1" x14ac:dyDescent="0.3">
      <c r="B10" s="8" t="s">
        <v>22</v>
      </c>
      <c r="C10" s="12">
        <f>IF(I4=0,"",1/I4)</f>
        <v>0.33333333333333331</v>
      </c>
      <c r="D10" s="12">
        <f>IF(I5=0,"",1/I5)</f>
        <v>0.2</v>
      </c>
      <c r="E10" s="12">
        <f>IF(I6=0,"",1/I6)</f>
        <v>5</v>
      </c>
      <c r="F10" s="12">
        <f>IF(I7=0,"",1/I7)</f>
        <v>0.33333333333333331</v>
      </c>
      <c r="G10" s="12">
        <f>IF(I8=0,"",1/I8)</f>
        <v>3</v>
      </c>
      <c r="H10" s="12">
        <f>IF(I9=0,"",1/I9)</f>
        <v>0.33333333333333331</v>
      </c>
      <c r="I10" s="9">
        <v>1</v>
      </c>
      <c r="J10" s="10">
        <v>0.2</v>
      </c>
      <c r="M10" s="15" t="s">
        <v>38</v>
      </c>
      <c r="N10" s="5" t="s">
        <v>39</v>
      </c>
    </row>
    <row r="11" spans="2:14" ht="27.75" customHeight="1" x14ac:dyDescent="0.3">
      <c r="B11" s="8" t="s">
        <v>23</v>
      </c>
      <c r="C11" s="12">
        <f>IF(J4=0,"",1/J4)</f>
        <v>1</v>
      </c>
      <c r="D11" s="12">
        <f>IF(J5=0,"",1/J5)</f>
        <v>1</v>
      </c>
      <c r="E11" s="12">
        <f>IF(J6=0,"",1/J6)</f>
        <v>7</v>
      </c>
      <c r="F11" s="12">
        <f>IF(J7=0,"",1/J7)</f>
        <v>1</v>
      </c>
      <c r="G11" s="12">
        <f>IF(J8=0,"",1/J8)</f>
        <v>7</v>
      </c>
      <c r="H11" s="12">
        <f>IF(J9=0,"",1/J9)</f>
        <v>1</v>
      </c>
      <c r="I11" s="12">
        <f>IF(J10=0,"",1/J10)</f>
        <v>5</v>
      </c>
      <c r="J11" s="9">
        <v>1</v>
      </c>
    </row>
    <row r="13" spans="2:14" ht="19.5" customHeight="1" x14ac:dyDescent="0.3">
      <c r="B13" s="32" t="s">
        <v>40</v>
      </c>
      <c r="C13" s="32"/>
      <c r="D13" s="32"/>
      <c r="E13" s="32"/>
      <c r="F13" s="32"/>
      <c r="G13" s="32"/>
      <c r="H13" s="32"/>
      <c r="I13" s="32"/>
      <c r="J13" s="32"/>
    </row>
    <row r="14" spans="2:14" ht="19.5" customHeight="1" x14ac:dyDescent="0.3">
      <c r="B14" s="32"/>
      <c r="C14" s="32"/>
      <c r="D14" s="32"/>
      <c r="E14" s="32"/>
      <c r="F14" s="32"/>
      <c r="G14" s="32"/>
      <c r="H14" s="32"/>
      <c r="I14" s="32"/>
      <c r="J14" s="32"/>
    </row>
    <row r="16" spans="2:14" ht="21.75" customHeight="1" x14ac:dyDescent="0.3">
      <c r="B16" s="33" t="s">
        <v>41</v>
      </c>
      <c r="C16" s="33"/>
      <c r="D16" s="33"/>
      <c r="E16" s="33"/>
      <c r="F16" s="33"/>
      <c r="G16" s="33"/>
      <c r="H16" s="33"/>
      <c r="I16" s="33"/>
      <c r="J16" s="33"/>
    </row>
    <row r="17" spans="2:10" ht="24" customHeight="1" x14ac:dyDescent="0.3">
      <c r="B17" s="16" t="s">
        <v>42</v>
      </c>
      <c r="C17" s="27" t="s">
        <v>43</v>
      </c>
      <c r="D17" s="27"/>
      <c r="E17" s="27"/>
      <c r="F17" s="27"/>
      <c r="G17" s="27"/>
      <c r="H17" s="27"/>
      <c r="I17" s="27"/>
      <c r="J17" s="27"/>
    </row>
    <row r="18" spans="2:10" ht="24" customHeight="1" x14ac:dyDescent="0.3">
      <c r="B18" s="17" t="s">
        <v>44</v>
      </c>
      <c r="C18" s="26" t="s">
        <v>45</v>
      </c>
      <c r="D18" s="26"/>
      <c r="E18" s="26"/>
      <c r="F18" s="26"/>
      <c r="G18" s="26"/>
      <c r="H18" s="26"/>
      <c r="I18" s="26"/>
      <c r="J18" s="26"/>
    </row>
    <row r="19" spans="2:10" ht="24" customHeight="1" x14ac:dyDescent="0.3">
      <c r="B19" s="16" t="s">
        <v>46</v>
      </c>
      <c r="C19" s="27" t="s">
        <v>47</v>
      </c>
      <c r="D19" s="27"/>
      <c r="E19" s="27"/>
      <c r="F19" s="27"/>
      <c r="G19" s="27"/>
      <c r="H19" s="27"/>
      <c r="I19" s="27"/>
      <c r="J19" s="27"/>
    </row>
    <row r="20" spans="2:10" ht="24" customHeight="1" x14ac:dyDescent="0.3">
      <c r="B20" s="17" t="s">
        <v>48</v>
      </c>
      <c r="C20" s="26" t="s">
        <v>49</v>
      </c>
      <c r="D20" s="26"/>
      <c r="E20" s="26"/>
      <c r="F20" s="26"/>
      <c r="G20" s="26"/>
      <c r="H20" s="26"/>
      <c r="I20" s="26"/>
      <c r="J20" s="26"/>
    </row>
    <row r="21" spans="2:10" ht="24" customHeight="1" x14ac:dyDescent="0.3">
      <c r="B21" s="16" t="s">
        <v>50</v>
      </c>
      <c r="C21" s="27" t="s">
        <v>51</v>
      </c>
      <c r="D21" s="27"/>
      <c r="E21" s="27"/>
      <c r="F21" s="27"/>
      <c r="G21" s="27"/>
      <c r="H21" s="27"/>
      <c r="I21" s="27"/>
      <c r="J21" s="27"/>
    </row>
    <row r="22" spans="2:10" ht="24" customHeight="1" x14ac:dyDescent="0.3">
      <c r="B22" s="17" t="s">
        <v>52</v>
      </c>
      <c r="C22" s="26" t="s">
        <v>53</v>
      </c>
      <c r="D22" s="26"/>
      <c r="E22" s="26"/>
      <c r="F22" s="26"/>
      <c r="G22" s="26"/>
      <c r="H22" s="26"/>
      <c r="I22" s="26"/>
      <c r="J22" s="26"/>
    </row>
    <row r="23" spans="2:10" ht="24" customHeight="1" x14ac:dyDescent="0.3">
      <c r="B23" s="16" t="s">
        <v>54</v>
      </c>
      <c r="C23" s="27" t="s">
        <v>55</v>
      </c>
      <c r="D23" s="27"/>
      <c r="E23" s="27"/>
      <c r="F23" s="27"/>
      <c r="G23" s="27"/>
      <c r="H23" s="27"/>
      <c r="I23" s="27"/>
      <c r="J23" s="27"/>
    </row>
    <row r="24" spans="2:10" ht="24" customHeight="1" x14ac:dyDescent="0.3">
      <c r="B24" s="17" t="s">
        <v>56</v>
      </c>
      <c r="C24" s="26" t="s">
        <v>57</v>
      </c>
      <c r="D24" s="26"/>
      <c r="E24" s="26"/>
      <c r="F24" s="26"/>
      <c r="G24" s="26"/>
      <c r="H24" s="26"/>
      <c r="I24" s="26"/>
      <c r="J24" s="26"/>
    </row>
  </sheetData>
  <mergeCells count="13">
    <mergeCell ref="B1:J1"/>
    <mergeCell ref="M1:N1"/>
    <mergeCell ref="B2:J2"/>
    <mergeCell ref="B13:J14"/>
    <mergeCell ref="B16:J16"/>
    <mergeCell ref="C22:J22"/>
    <mergeCell ref="C23:J23"/>
    <mergeCell ref="C24:J24"/>
    <mergeCell ref="C17:J17"/>
    <mergeCell ref="C18:J18"/>
    <mergeCell ref="C19:J19"/>
    <mergeCell ref="C20:J20"/>
    <mergeCell ref="C21:J21"/>
  </mergeCells>
  <pageMargins left="0.75" right="0.75" top="1" bottom="1" header="0.51181102362204689" footer="0.51181102362204689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B1:N24"/>
  <sheetViews>
    <sheetView showGridLines="0" tabSelected="1" topLeftCell="A3" workbookViewId="0">
      <selection activeCell="L8" sqref="L8"/>
    </sheetView>
  </sheetViews>
  <sheetFormatPr defaultColWidth="8.77734375" defaultRowHeight="14.4" x14ac:dyDescent="0.3"/>
  <cols>
    <col min="1" max="1" width="3" customWidth="1"/>
    <col min="2" max="2" width="26" customWidth="1"/>
    <col min="3" max="10" width="14" customWidth="1"/>
    <col min="11" max="11" width="3" customWidth="1"/>
    <col min="13" max="13" width="21.77734375" bestFit="1"/>
    <col min="14" max="14" width="41.44140625" bestFit="1"/>
  </cols>
  <sheetData>
    <row r="1" spans="2:14" ht="33.75" customHeight="1" x14ac:dyDescent="0.3">
      <c r="B1" s="28" t="s">
        <v>58</v>
      </c>
      <c r="C1" s="28"/>
      <c r="D1" s="28"/>
      <c r="E1" s="28"/>
      <c r="F1" s="28"/>
      <c r="G1" s="28"/>
      <c r="H1" s="28"/>
      <c r="I1" s="28"/>
      <c r="J1" s="28"/>
      <c r="M1" s="29" t="s">
        <v>11</v>
      </c>
      <c r="N1" s="30"/>
    </row>
    <row r="2" spans="2:14" ht="19.5" customHeight="1" x14ac:dyDescent="0.3">
      <c r="B2" s="31" t="s">
        <v>12</v>
      </c>
      <c r="C2" s="31"/>
      <c r="D2" s="31"/>
      <c r="E2" s="31"/>
      <c r="F2" s="31"/>
      <c r="G2" s="31"/>
      <c r="H2" s="31"/>
      <c r="I2" s="31"/>
      <c r="J2" s="31"/>
      <c r="M2" s="4" t="s">
        <v>13</v>
      </c>
      <c r="N2" s="5" t="s">
        <v>14</v>
      </c>
    </row>
    <row r="3" spans="2:14" ht="72" customHeight="1" x14ac:dyDescent="0.3">
      <c r="B3" s="1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M3" s="7" t="s">
        <v>24</v>
      </c>
      <c r="N3" s="5" t="s">
        <v>25</v>
      </c>
    </row>
    <row r="4" spans="2:14" ht="27.75" customHeight="1" x14ac:dyDescent="0.3">
      <c r="B4" s="8" t="s">
        <v>16</v>
      </c>
      <c r="C4" s="18">
        <v>1</v>
      </c>
      <c r="D4" s="10">
        <v>0.33333333333333331</v>
      </c>
      <c r="E4" s="19">
        <v>5</v>
      </c>
      <c r="F4" s="19">
        <v>5</v>
      </c>
      <c r="G4" s="19">
        <v>7</v>
      </c>
      <c r="H4" s="19">
        <v>1</v>
      </c>
      <c r="I4" s="19">
        <v>5</v>
      </c>
      <c r="J4" s="19">
        <v>1</v>
      </c>
      <c r="M4" s="11" t="s">
        <v>26</v>
      </c>
      <c r="N4" s="5" t="s">
        <v>27</v>
      </c>
    </row>
    <row r="5" spans="2:14" ht="27.75" customHeight="1" x14ac:dyDescent="0.3">
      <c r="B5" s="8" t="s">
        <v>17</v>
      </c>
      <c r="C5" s="20">
        <f>IF(D4=0,"",1/D4)</f>
        <v>3</v>
      </c>
      <c r="D5" s="18">
        <v>1</v>
      </c>
      <c r="E5" s="19">
        <v>5</v>
      </c>
      <c r="F5" s="19">
        <v>5</v>
      </c>
      <c r="G5" s="19">
        <v>5</v>
      </c>
      <c r="H5" s="19">
        <v>1</v>
      </c>
      <c r="I5" s="19">
        <v>5</v>
      </c>
      <c r="J5" s="19">
        <v>1</v>
      </c>
      <c r="M5" s="13" t="s">
        <v>28</v>
      </c>
      <c r="N5" s="5" t="s">
        <v>29</v>
      </c>
    </row>
    <row r="6" spans="2:14" ht="27.75" customHeight="1" x14ac:dyDescent="0.3">
      <c r="B6" s="8" t="s">
        <v>18</v>
      </c>
      <c r="C6" s="20">
        <f>IF(E4=0,"",1/E4)</f>
        <v>0.2</v>
      </c>
      <c r="D6" s="20">
        <f>IF(E5=0,"",1/E5)</f>
        <v>0.2</v>
      </c>
      <c r="E6" s="18">
        <v>1</v>
      </c>
      <c r="F6" s="19">
        <v>7</v>
      </c>
      <c r="G6" s="19">
        <v>7</v>
      </c>
      <c r="H6" s="19">
        <v>1</v>
      </c>
      <c r="I6" s="19">
        <v>1</v>
      </c>
      <c r="J6" s="19">
        <v>1</v>
      </c>
      <c r="M6" s="14" t="s">
        <v>30</v>
      </c>
      <c r="N6" s="5" t="s">
        <v>31</v>
      </c>
    </row>
    <row r="7" spans="2:14" ht="27.75" customHeight="1" x14ac:dyDescent="0.3">
      <c r="B7" s="8" t="s">
        <v>19</v>
      </c>
      <c r="C7" s="20">
        <f>IF(F4=0,"",1/F4)</f>
        <v>0.2</v>
      </c>
      <c r="D7" s="20">
        <f>IF(F5=0,"",1/F5)</f>
        <v>0.2</v>
      </c>
      <c r="E7" s="20">
        <f>IF(F6=0,"",1/F6)</f>
        <v>0.14285714285714285</v>
      </c>
      <c r="F7" s="18">
        <v>1</v>
      </c>
      <c r="G7" s="19">
        <v>7</v>
      </c>
      <c r="H7" s="10">
        <v>0.14285714285714285</v>
      </c>
      <c r="I7" s="10">
        <v>3</v>
      </c>
      <c r="J7" s="10">
        <v>0.1111111111111111</v>
      </c>
      <c r="M7" s="15" t="s">
        <v>32</v>
      </c>
      <c r="N7" s="5" t="s">
        <v>33</v>
      </c>
    </row>
    <row r="8" spans="2:14" ht="27.75" customHeight="1" x14ac:dyDescent="0.3">
      <c r="B8" s="8" t="s">
        <v>20</v>
      </c>
      <c r="C8" s="20">
        <f>IF(G4=0,"",1/G4)</f>
        <v>0.14285714285714285</v>
      </c>
      <c r="D8" s="20">
        <f>IF(G5=0,"",1/G5)</f>
        <v>0.2</v>
      </c>
      <c r="E8" s="20">
        <f>IF(G6=0,"",1/G6)</f>
        <v>0.14285714285714285</v>
      </c>
      <c r="F8" s="20">
        <f>IF(G7=0,"",1/G7)</f>
        <v>0.14285714285714285</v>
      </c>
      <c r="G8" s="18">
        <v>1</v>
      </c>
      <c r="H8" s="10">
        <v>0.14285714285714285</v>
      </c>
      <c r="I8" s="10">
        <v>3</v>
      </c>
      <c r="J8" s="10">
        <v>0.1111111111111111</v>
      </c>
      <c r="M8" s="15" t="s">
        <v>34</v>
      </c>
      <c r="N8" s="5" t="s">
        <v>35</v>
      </c>
    </row>
    <row r="9" spans="2:14" ht="27.75" customHeight="1" x14ac:dyDescent="0.3">
      <c r="B9" s="8" t="s">
        <v>21</v>
      </c>
      <c r="C9" s="20">
        <f>IF(H4=0,"",1/H4)</f>
        <v>1</v>
      </c>
      <c r="D9" s="20">
        <f>IF(H5=0,"",1/H5)</f>
        <v>1</v>
      </c>
      <c r="E9" s="20">
        <f>IF(H6=0,"",1/H6)</f>
        <v>1</v>
      </c>
      <c r="F9" s="20">
        <f>IF(H7=0,"",1/H7)</f>
        <v>7</v>
      </c>
      <c r="G9" s="20">
        <f>IF(H8=0,"",1/H8)</f>
        <v>7</v>
      </c>
      <c r="H9" s="18">
        <v>1</v>
      </c>
      <c r="I9" s="19">
        <v>5</v>
      </c>
      <c r="J9" s="19">
        <v>1</v>
      </c>
      <c r="M9" s="15" t="s">
        <v>36</v>
      </c>
      <c r="N9" s="5" t="s">
        <v>37</v>
      </c>
    </row>
    <row r="10" spans="2:14" ht="27.75" customHeight="1" x14ac:dyDescent="0.3">
      <c r="B10" s="8" t="s">
        <v>22</v>
      </c>
      <c r="C10" s="20">
        <f>IF(I4=0,"",1/I4)</f>
        <v>0.2</v>
      </c>
      <c r="D10" s="20">
        <f>IF(I5=0,"",1/I5)</f>
        <v>0.2</v>
      </c>
      <c r="E10" s="20">
        <f>IF(I6=0,"",1/I6)</f>
        <v>1</v>
      </c>
      <c r="F10" s="20">
        <f>IF(I7=0,"",1/I7)</f>
        <v>0.33333333333333331</v>
      </c>
      <c r="G10" s="20">
        <f>IF(I8=0,"",1/I8)</f>
        <v>0.33333333333333331</v>
      </c>
      <c r="H10" s="20">
        <f>IF(I9=0,"",1/I9)</f>
        <v>0.2</v>
      </c>
      <c r="I10" s="18">
        <v>1</v>
      </c>
      <c r="J10" s="19">
        <v>1</v>
      </c>
      <c r="M10" s="15" t="s">
        <v>38</v>
      </c>
      <c r="N10" s="5" t="s">
        <v>39</v>
      </c>
    </row>
    <row r="11" spans="2:14" ht="27.75" customHeight="1" x14ac:dyDescent="0.3">
      <c r="B11" s="8" t="s">
        <v>23</v>
      </c>
      <c r="C11" s="20">
        <f>IF(J4=0,"",1/J4)</f>
        <v>1</v>
      </c>
      <c r="D11" s="20">
        <f>IF(J5=0,"",1/J5)</f>
        <v>1</v>
      </c>
      <c r="E11" s="20">
        <f>IF(J6=0,"",1/J6)</f>
        <v>1</v>
      </c>
      <c r="F11" s="20">
        <f>IF(J7=0,"",1/J7)</f>
        <v>9</v>
      </c>
      <c r="G11" s="20">
        <f>IF(J8=0,"",1/J8)</f>
        <v>9</v>
      </c>
      <c r="H11" s="20">
        <f>IF(J9=0,"",1/J9)</f>
        <v>1</v>
      </c>
      <c r="I11" s="20">
        <f>IF(J10=0,"",1/J10)</f>
        <v>1</v>
      </c>
      <c r="J11" s="18">
        <v>1</v>
      </c>
    </row>
    <row r="13" spans="2:14" ht="19.5" customHeight="1" x14ac:dyDescent="0.3">
      <c r="B13" s="32" t="s">
        <v>40</v>
      </c>
      <c r="C13" s="32"/>
      <c r="D13" s="32"/>
      <c r="E13" s="32"/>
      <c r="F13" s="32"/>
      <c r="G13" s="32"/>
      <c r="H13" s="32"/>
      <c r="I13" s="32"/>
      <c r="J13" s="32"/>
    </row>
    <row r="14" spans="2:14" ht="19.5" customHeight="1" x14ac:dyDescent="0.3">
      <c r="B14" s="32"/>
      <c r="C14" s="32"/>
      <c r="D14" s="32"/>
      <c r="E14" s="32"/>
      <c r="F14" s="32"/>
      <c r="G14" s="32"/>
      <c r="H14" s="32"/>
      <c r="I14" s="32"/>
      <c r="J14" s="32"/>
    </row>
    <row r="16" spans="2:14" ht="21.75" customHeight="1" x14ac:dyDescent="0.3">
      <c r="B16" s="33" t="s">
        <v>41</v>
      </c>
      <c r="C16" s="33"/>
      <c r="D16" s="33"/>
      <c r="E16" s="33"/>
      <c r="F16" s="33"/>
      <c r="G16" s="33"/>
      <c r="H16" s="33"/>
      <c r="I16" s="33"/>
      <c r="J16" s="33"/>
    </row>
    <row r="17" spans="2:10" ht="24" customHeight="1" x14ac:dyDescent="0.3">
      <c r="B17" s="16" t="s">
        <v>42</v>
      </c>
      <c r="C17" s="27" t="s">
        <v>43</v>
      </c>
      <c r="D17" s="27"/>
      <c r="E17" s="27"/>
      <c r="F17" s="27"/>
      <c r="G17" s="27"/>
      <c r="H17" s="27"/>
      <c r="I17" s="27"/>
      <c r="J17" s="27"/>
    </row>
    <row r="18" spans="2:10" ht="24" customHeight="1" x14ac:dyDescent="0.3">
      <c r="B18" s="17" t="s">
        <v>44</v>
      </c>
      <c r="C18" s="26" t="s">
        <v>45</v>
      </c>
      <c r="D18" s="26"/>
      <c r="E18" s="26"/>
      <c r="F18" s="26"/>
      <c r="G18" s="26"/>
      <c r="H18" s="26"/>
      <c r="I18" s="26"/>
      <c r="J18" s="26"/>
    </row>
    <row r="19" spans="2:10" ht="24" customHeight="1" x14ac:dyDescent="0.3">
      <c r="B19" s="16" t="s">
        <v>46</v>
      </c>
      <c r="C19" s="27" t="s">
        <v>47</v>
      </c>
      <c r="D19" s="27"/>
      <c r="E19" s="27"/>
      <c r="F19" s="27"/>
      <c r="G19" s="27"/>
      <c r="H19" s="27"/>
      <c r="I19" s="27"/>
      <c r="J19" s="27"/>
    </row>
    <row r="20" spans="2:10" ht="24" customHeight="1" x14ac:dyDescent="0.3">
      <c r="B20" s="17" t="s">
        <v>48</v>
      </c>
      <c r="C20" s="26" t="s">
        <v>49</v>
      </c>
      <c r="D20" s="26"/>
      <c r="E20" s="26"/>
      <c r="F20" s="26"/>
      <c r="G20" s="26"/>
      <c r="H20" s="26"/>
      <c r="I20" s="26"/>
      <c r="J20" s="26"/>
    </row>
    <row r="21" spans="2:10" ht="24" customHeight="1" x14ac:dyDescent="0.3">
      <c r="B21" s="16" t="s">
        <v>50</v>
      </c>
      <c r="C21" s="27" t="s">
        <v>51</v>
      </c>
      <c r="D21" s="27"/>
      <c r="E21" s="27"/>
      <c r="F21" s="27"/>
      <c r="G21" s="27"/>
      <c r="H21" s="27"/>
      <c r="I21" s="27"/>
      <c r="J21" s="27"/>
    </row>
    <row r="22" spans="2:10" ht="24" customHeight="1" x14ac:dyDescent="0.3">
      <c r="B22" s="17" t="s">
        <v>52</v>
      </c>
      <c r="C22" s="26" t="s">
        <v>53</v>
      </c>
      <c r="D22" s="26"/>
      <c r="E22" s="26"/>
      <c r="F22" s="26"/>
      <c r="G22" s="26"/>
      <c r="H22" s="26"/>
      <c r="I22" s="26"/>
      <c r="J22" s="26"/>
    </row>
    <row r="23" spans="2:10" ht="24" customHeight="1" x14ac:dyDescent="0.3">
      <c r="B23" s="16" t="s">
        <v>54</v>
      </c>
      <c r="C23" s="27" t="s">
        <v>55</v>
      </c>
      <c r="D23" s="27"/>
      <c r="E23" s="27"/>
      <c r="F23" s="27"/>
      <c r="G23" s="27"/>
      <c r="H23" s="27"/>
      <c r="I23" s="27"/>
      <c r="J23" s="27"/>
    </row>
    <row r="24" spans="2:10" ht="24" customHeight="1" x14ac:dyDescent="0.3">
      <c r="B24" s="17" t="s">
        <v>56</v>
      </c>
      <c r="C24" s="26" t="s">
        <v>57</v>
      </c>
      <c r="D24" s="26"/>
      <c r="E24" s="26"/>
      <c r="F24" s="26"/>
      <c r="G24" s="26"/>
      <c r="H24" s="26"/>
      <c r="I24" s="26"/>
      <c r="J24" s="26"/>
    </row>
  </sheetData>
  <mergeCells count="13">
    <mergeCell ref="B1:J1"/>
    <mergeCell ref="M1:N1"/>
    <mergeCell ref="B2:J2"/>
    <mergeCell ref="B13:J14"/>
    <mergeCell ref="B16:J16"/>
    <mergeCell ref="C22:J22"/>
    <mergeCell ref="C23:J23"/>
    <mergeCell ref="C24:J24"/>
    <mergeCell ref="C17:J17"/>
    <mergeCell ref="C18:J18"/>
    <mergeCell ref="C19:J19"/>
    <mergeCell ref="C20:J20"/>
    <mergeCell ref="C21:J21"/>
  </mergeCells>
  <pageMargins left="0.75" right="0.75" top="1" bottom="1" header="0.51181102362204689" footer="0.51181102362204689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B1:N24"/>
  <sheetViews>
    <sheetView showGridLines="0" workbookViewId="0"/>
  </sheetViews>
  <sheetFormatPr defaultColWidth="8.77734375" defaultRowHeight="14.4" x14ac:dyDescent="0.3"/>
  <cols>
    <col min="1" max="1" width="3" customWidth="1"/>
    <col min="2" max="2" width="26" customWidth="1"/>
    <col min="3" max="10" width="14" customWidth="1"/>
    <col min="11" max="11" width="3" customWidth="1"/>
    <col min="13" max="13" width="21.77734375" bestFit="1"/>
    <col min="14" max="14" width="41.44140625" bestFit="1"/>
  </cols>
  <sheetData>
    <row r="1" spans="2:14" ht="33.75" customHeight="1" x14ac:dyDescent="0.3">
      <c r="B1" s="28" t="s">
        <v>59</v>
      </c>
      <c r="C1" s="28"/>
      <c r="D1" s="28"/>
      <c r="E1" s="28"/>
      <c r="F1" s="28"/>
      <c r="G1" s="28"/>
      <c r="H1" s="28"/>
      <c r="I1" s="28"/>
      <c r="J1" s="28"/>
      <c r="M1" s="29" t="s">
        <v>11</v>
      </c>
      <c r="N1" s="30"/>
    </row>
    <row r="2" spans="2:14" ht="19.5" customHeight="1" x14ac:dyDescent="0.3">
      <c r="B2" s="31" t="s">
        <v>12</v>
      </c>
      <c r="C2" s="31"/>
      <c r="D2" s="31"/>
      <c r="E2" s="31"/>
      <c r="F2" s="31"/>
      <c r="G2" s="31"/>
      <c r="H2" s="31"/>
      <c r="I2" s="31"/>
      <c r="J2" s="31"/>
      <c r="M2" s="4" t="s">
        <v>13</v>
      </c>
      <c r="N2" s="5" t="s">
        <v>14</v>
      </c>
    </row>
    <row r="3" spans="2:14" ht="72" customHeight="1" x14ac:dyDescent="0.3">
      <c r="B3" s="1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M3" s="7" t="s">
        <v>24</v>
      </c>
      <c r="N3" s="5" t="s">
        <v>25</v>
      </c>
    </row>
    <row r="4" spans="2:14" ht="27.75" customHeight="1" x14ac:dyDescent="0.3">
      <c r="B4" s="8" t="s">
        <v>16</v>
      </c>
      <c r="C4" s="18">
        <v>1</v>
      </c>
      <c r="D4" s="19"/>
      <c r="E4" s="19"/>
      <c r="F4" s="19"/>
      <c r="G4" s="19"/>
      <c r="H4" s="19"/>
      <c r="I4" s="19"/>
      <c r="J4" s="19"/>
      <c r="M4" s="11" t="s">
        <v>26</v>
      </c>
      <c r="N4" s="5" t="s">
        <v>27</v>
      </c>
    </row>
    <row r="5" spans="2:14" ht="27.75" customHeight="1" x14ac:dyDescent="0.3">
      <c r="B5" s="8" t="s">
        <v>17</v>
      </c>
      <c r="C5" s="20" t="str">
        <f>IF(D4=0,"",1/D4)</f>
        <v/>
      </c>
      <c r="D5" s="18">
        <v>1</v>
      </c>
      <c r="E5" s="19"/>
      <c r="F5" s="19"/>
      <c r="G5" s="19"/>
      <c r="H5" s="19"/>
      <c r="I5" s="19"/>
      <c r="J5" s="19"/>
      <c r="M5" s="13" t="s">
        <v>28</v>
      </c>
      <c r="N5" s="5" t="s">
        <v>29</v>
      </c>
    </row>
    <row r="6" spans="2:14" ht="27.75" customHeight="1" x14ac:dyDescent="0.3">
      <c r="B6" s="8" t="s">
        <v>18</v>
      </c>
      <c r="C6" s="20" t="str">
        <f>IF(E4=0,"",1/E4)</f>
        <v/>
      </c>
      <c r="D6" s="20" t="str">
        <f>IF(E5=0,"",1/E5)</f>
        <v/>
      </c>
      <c r="E6" s="18">
        <v>1</v>
      </c>
      <c r="F6" s="19"/>
      <c r="G6" s="19"/>
      <c r="H6" s="19"/>
      <c r="I6" s="19"/>
      <c r="J6" s="19"/>
      <c r="M6" s="14" t="s">
        <v>30</v>
      </c>
      <c r="N6" s="5" t="s">
        <v>31</v>
      </c>
    </row>
    <row r="7" spans="2:14" ht="27.75" customHeight="1" x14ac:dyDescent="0.3">
      <c r="B7" s="8" t="s">
        <v>19</v>
      </c>
      <c r="C7" s="20" t="str">
        <f>IF(F4=0,"",1/F4)</f>
        <v/>
      </c>
      <c r="D7" s="20" t="str">
        <f>IF(F5=0,"",1/F5)</f>
        <v/>
      </c>
      <c r="E7" s="20" t="str">
        <f>IF(F6=0,"",1/F6)</f>
        <v/>
      </c>
      <c r="F7" s="18">
        <v>1</v>
      </c>
      <c r="G7" s="19"/>
      <c r="H7" s="19"/>
      <c r="I7" s="19"/>
      <c r="J7" s="19"/>
      <c r="M7" s="15" t="s">
        <v>32</v>
      </c>
      <c r="N7" s="5" t="s">
        <v>33</v>
      </c>
    </row>
    <row r="8" spans="2:14" ht="27.75" customHeight="1" x14ac:dyDescent="0.3">
      <c r="B8" s="8" t="s">
        <v>20</v>
      </c>
      <c r="C8" s="20" t="str">
        <f>IF(G4=0,"",1/G4)</f>
        <v/>
      </c>
      <c r="D8" s="20" t="str">
        <f>IF(G5=0,"",1/G5)</f>
        <v/>
      </c>
      <c r="E8" s="20" t="str">
        <f>IF(G6=0,"",1/G6)</f>
        <v/>
      </c>
      <c r="F8" s="20" t="str">
        <f>IF(G7=0,"",1/G7)</f>
        <v/>
      </c>
      <c r="G8" s="18">
        <v>1</v>
      </c>
      <c r="H8" s="19"/>
      <c r="I8" s="19"/>
      <c r="J8" s="19"/>
      <c r="M8" s="15" t="s">
        <v>34</v>
      </c>
      <c r="N8" s="5" t="s">
        <v>35</v>
      </c>
    </row>
    <row r="9" spans="2:14" ht="27.75" customHeight="1" x14ac:dyDescent="0.3">
      <c r="B9" s="8" t="s">
        <v>21</v>
      </c>
      <c r="C9" s="20" t="str">
        <f>IF(H4=0,"",1/H4)</f>
        <v/>
      </c>
      <c r="D9" s="20" t="str">
        <f>IF(H5=0,"",1/H5)</f>
        <v/>
      </c>
      <c r="E9" s="20" t="str">
        <f>IF(H6=0,"",1/H6)</f>
        <v/>
      </c>
      <c r="F9" s="20" t="str">
        <f>IF(H7=0,"",1/H7)</f>
        <v/>
      </c>
      <c r="G9" s="20" t="str">
        <f>IF(H8=0,"",1/H8)</f>
        <v/>
      </c>
      <c r="H9" s="18">
        <v>1</v>
      </c>
      <c r="I9" s="19"/>
      <c r="J9" s="19"/>
      <c r="M9" s="15" t="s">
        <v>36</v>
      </c>
      <c r="N9" s="5" t="s">
        <v>37</v>
      </c>
    </row>
    <row r="10" spans="2:14" ht="27.75" customHeight="1" x14ac:dyDescent="0.3">
      <c r="B10" s="8" t="s">
        <v>22</v>
      </c>
      <c r="C10" s="20" t="str">
        <f>IF(I4=0,"",1/I4)</f>
        <v/>
      </c>
      <c r="D10" s="20" t="str">
        <f>IF(I5=0,"",1/I5)</f>
        <v/>
      </c>
      <c r="E10" s="20" t="str">
        <f>IF(I6=0,"",1/I6)</f>
        <v/>
      </c>
      <c r="F10" s="20" t="str">
        <f>IF(I7=0,"",1/I7)</f>
        <v/>
      </c>
      <c r="G10" s="20" t="str">
        <f>IF(I8=0,"",1/I8)</f>
        <v/>
      </c>
      <c r="H10" s="20" t="str">
        <f>IF(I9=0,"",1/I9)</f>
        <v/>
      </c>
      <c r="I10" s="18">
        <v>1</v>
      </c>
      <c r="J10" s="19"/>
      <c r="M10" s="15" t="s">
        <v>38</v>
      </c>
      <c r="N10" s="5" t="s">
        <v>39</v>
      </c>
    </row>
    <row r="11" spans="2:14" ht="27.75" customHeight="1" x14ac:dyDescent="0.3">
      <c r="B11" s="8" t="s">
        <v>23</v>
      </c>
      <c r="C11" s="20" t="str">
        <f>IF(J4=0,"",1/J4)</f>
        <v/>
      </c>
      <c r="D11" s="20" t="str">
        <f>IF(J5=0,"",1/J5)</f>
        <v/>
      </c>
      <c r="E11" s="20" t="str">
        <f>IF(J6=0,"",1/J6)</f>
        <v/>
      </c>
      <c r="F11" s="20" t="str">
        <f>IF(J7=0,"",1/J7)</f>
        <v/>
      </c>
      <c r="G11" s="20" t="str">
        <f>IF(J8=0,"",1/J8)</f>
        <v/>
      </c>
      <c r="H11" s="20" t="str">
        <f>IF(J9=0,"",1/J9)</f>
        <v/>
      </c>
      <c r="I11" s="20" t="str">
        <f>IF(J10=0,"",1/J10)</f>
        <v/>
      </c>
      <c r="J11" s="18">
        <v>1</v>
      </c>
    </row>
    <row r="13" spans="2:14" ht="19.5" customHeight="1" x14ac:dyDescent="0.3">
      <c r="B13" s="32" t="s">
        <v>40</v>
      </c>
      <c r="C13" s="32"/>
      <c r="D13" s="32"/>
      <c r="E13" s="32"/>
      <c r="F13" s="32"/>
      <c r="G13" s="32"/>
      <c r="H13" s="32"/>
      <c r="I13" s="32"/>
      <c r="J13" s="32"/>
    </row>
    <row r="14" spans="2:14" ht="19.5" customHeight="1" x14ac:dyDescent="0.3">
      <c r="B14" s="32"/>
      <c r="C14" s="32"/>
      <c r="D14" s="32"/>
      <c r="E14" s="32"/>
      <c r="F14" s="32"/>
      <c r="G14" s="32"/>
      <c r="H14" s="32"/>
      <c r="I14" s="32"/>
      <c r="J14" s="32"/>
    </row>
    <row r="16" spans="2:14" ht="21.75" customHeight="1" x14ac:dyDescent="0.3">
      <c r="B16" s="33" t="s">
        <v>41</v>
      </c>
      <c r="C16" s="33"/>
      <c r="D16" s="33"/>
      <c r="E16" s="33"/>
      <c r="F16" s="33"/>
      <c r="G16" s="33"/>
      <c r="H16" s="33"/>
      <c r="I16" s="33"/>
      <c r="J16" s="33"/>
    </row>
    <row r="17" spans="2:10" ht="24" customHeight="1" x14ac:dyDescent="0.3">
      <c r="B17" s="16" t="s">
        <v>42</v>
      </c>
      <c r="C17" s="27" t="s">
        <v>43</v>
      </c>
      <c r="D17" s="27"/>
      <c r="E17" s="27"/>
      <c r="F17" s="27"/>
      <c r="G17" s="27"/>
      <c r="H17" s="27"/>
      <c r="I17" s="27"/>
      <c r="J17" s="27"/>
    </row>
    <row r="18" spans="2:10" ht="24" customHeight="1" x14ac:dyDescent="0.3">
      <c r="B18" s="17" t="s">
        <v>44</v>
      </c>
      <c r="C18" s="26" t="s">
        <v>45</v>
      </c>
      <c r="D18" s="26"/>
      <c r="E18" s="26"/>
      <c r="F18" s="26"/>
      <c r="G18" s="26"/>
      <c r="H18" s="26"/>
      <c r="I18" s="26"/>
      <c r="J18" s="26"/>
    </row>
    <row r="19" spans="2:10" ht="24" customHeight="1" x14ac:dyDescent="0.3">
      <c r="B19" s="16" t="s">
        <v>46</v>
      </c>
      <c r="C19" s="27" t="s">
        <v>47</v>
      </c>
      <c r="D19" s="27"/>
      <c r="E19" s="27"/>
      <c r="F19" s="27"/>
      <c r="G19" s="27"/>
      <c r="H19" s="27"/>
      <c r="I19" s="27"/>
      <c r="J19" s="27"/>
    </row>
    <row r="20" spans="2:10" ht="24" customHeight="1" x14ac:dyDescent="0.3">
      <c r="B20" s="17" t="s">
        <v>48</v>
      </c>
      <c r="C20" s="26" t="s">
        <v>49</v>
      </c>
      <c r="D20" s="26"/>
      <c r="E20" s="26"/>
      <c r="F20" s="26"/>
      <c r="G20" s="26"/>
      <c r="H20" s="26"/>
      <c r="I20" s="26"/>
      <c r="J20" s="26"/>
    </row>
    <row r="21" spans="2:10" ht="24" customHeight="1" x14ac:dyDescent="0.3">
      <c r="B21" s="16" t="s">
        <v>50</v>
      </c>
      <c r="C21" s="27" t="s">
        <v>51</v>
      </c>
      <c r="D21" s="27"/>
      <c r="E21" s="27"/>
      <c r="F21" s="27"/>
      <c r="G21" s="27"/>
      <c r="H21" s="27"/>
      <c r="I21" s="27"/>
      <c r="J21" s="27"/>
    </row>
    <row r="22" spans="2:10" ht="24" customHeight="1" x14ac:dyDescent="0.3">
      <c r="B22" s="17" t="s">
        <v>52</v>
      </c>
      <c r="C22" s="26" t="s">
        <v>53</v>
      </c>
      <c r="D22" s="26"/>
      <c r="E22" s="26"/>
      <c r="F22" s="26"/>
      <c r="G22" s="26"/>
      <c r="H22" s="26"/>
      <c r="I22" s="26"/>
      <c r="J22" s="26"/>
    </row>
    <row r="23" spans="2:10" ht="24" customHeight="1" x14ac:dyDescent="0.3">
      <c r="B23" s="16" t="s">
        <v>54</v>
      </c>
      <c r="C23" s="27" t="s">
        <v>55</v>
      </c>
      <c r="D23" s="27"/>
      <c r="E23" s="27"/>
      <c r="F23" s="27"/>
      <c r="G23" s="27"/>
      <c r="H23" s="27"/>
      <c r="I23" s="27"/>
      <c r="J23" s="27"/>
    </row>
    <row r="24" spans="2:10" ht="24" customHeight="1" x14ac:dyDescent="0.3">
      <c r="B24" s="17" t="s">
        <v>56</v>
      </c>
      <c r="C24" s="26" t="s">
        <v>57</v>
      </c>
      <c r="D24" s="26"/>
      <c r="E24" s="26"/>
      <c r="F24" s="26"/>
      <c r="G24" s="26"/>
      <c r="H24" s="26"/>
      <c r="I24" s="26"/>
      <c r="J24" s="26"/>
    </row>
  </sheetData>
  <mergeCells count="13">
    <mergeCell ref="B1:J1"/>
    <mergeCell ref="M1:N1"/>
    <mergeCell ref="B2:J2"/>
    <mergeCell ref="B13:J14"/>
    <mergeCell ref="B16:J16"/>
    <mergeCell ref="C22:J22"/>
    <mergeCell ref="C23:J23"/>
    <mergeCell ref="C24:J24"/>
    <mergeCell ref="C17:J17"/>
    <mergeCell ref="C18:J18"/>
    <mergeCell ref="C19:J19"/>
    <mergeCell ref="C20:J20"/>
    <mergeCell ref="C21:J21"/>
  </mergeCells>
  <pageMargins left="0.75" right="0.75" top="1" bottom="1" header="0.51181102362204689" footer="0.51181102362204689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7F7F"/>
  </sheetPr>
  <dimension ref="B1:E12"/>
  <sheetViews>
    <sheetView showGridLines="0" workbookViewId="0">
      <selection activeCell="B12" sqref="B12:E12"/>
    </sheetView>
  </sheetViews>
  <sheetFormatPr defaultColWidth="8.77734375" defaultRowHeight="14.4" x14ac:dyDescent="0.3"/>
  <cols>
    <col min="1" max="1" width="3" customWidth="1"/>
    <col min="2" max="2" width="5" customWidth="1"/>
    <col min="3" max="3" width="28" customWidth="1"/>
    <col min="4" max="4" width="26.44140625" customWidth="1"/>
    <col min="5" max="5" width="54.77734375" customWidth="1"/>
    <col min="6" max="6" width="3" customWidth="1"/>
  </cols>
  <sheetData>
    <row r="1" spans="2:5" ht="33.75" customHeight="1" x14ac:dyDescent="0.3">
      <c r="B1" s="28" t="s">
        <v>60</v>
      </c>
      <c r="C1" s="28"/>
      <c r="D1" s="28"/>
      <c r="E1" s="28"/>
    </row>
    <row r="2" spans="2:5" ht="24" customHeight="1" x14ac:dyDescent="0.3">
      <c r="B2" s="21" t="s">
        <v>61</v>
      </c>
      <c r="C2" s="21" t="s">
        <v>62</v>
      </c>
      <c r="D2" s="21" t="s">
        <v>63</v>
      </c>
      <c r="E2" s="21" t="s">
        <v>64</v>
      </c>
    </row>
    <row r="3" spans="2:5" ht="36" customHeight="1" x14ac:dyDescent="0.3">
      <c r="B3" s="22" t="s">
        <v>65</v>
      </c>
      <c r="C3" s="23" t="s">
        <v>16</v>
      </c>
      <c r="D3" s="23" t="s">
        <v>66</v>
      </c>
      <c r="E3" s="23" t="s">
        <v>43</v>
      </c>
    </row>
    <row r="4" spans="2:5" ht="36" customHeight="1" x14ac:dyDescent="0.3">
      <c r="B4" s="24" t="s">
        <v>67</v>
      </c>
      <c r="C4" s="25" t="s">
        <v>17</v>
      </c>
      <c r="D4" s="25" t="s">
        <v>68</v>
      </c>
      <c r="E4" s="25" t="s">
        <v>45</v>
      </c>
    </row>
    <row r="5" spans="2:5" ht="36" customHeight="1" x14ac:dyDescent="0.3">
      <c r="B5" s="22" t="s">
        <v>69</v>
      </c>
      <c r="C5" s="23" t="s">
        <v>18</v>
      </c>
      <c r="D5" s="23" t="s">
        <v>70</v>
      </c>
      <c r="E5" s="23" t="s">
        <v>47</v>
      </c>
    </row>
    <row r="6" spans="2:5" ht="36" customHeight="1" x14ac:dyDescent="0.3">
      <c r="B6" s="24" t="s">
        <v>71</v>
      </c>
      <c r="C6" s="25" t="s">
        <v>19</v>
      </c>
      <c r="D6" s="25" t="s">
        <v>72</v>
      </c>
      <c r="E6" s="25" t="s">
        <v>49</v>
      </c>
    </row>
    <row r="7" spans="2:5" ht="36" customHeight="1" x14ac:dyDescent="0.3">
      <c r="B7" s="22" t="s">
        <v>73</v>
      </c>
      <c r="C7" s="23" t="s">
        <v>20</v>
      </c>
      <c r="D7" s="23" t="s">
        <v>74</v>
      </c>
      <c r="E7" s="23" t="s">
        <v>51</v>
      </c>
    </row>
    <row r="8" spans="2:5" ht="36" customHeight="1" x14ac:dyDescent="0.3">
      <c r="B8" s="24" t="s">
        <v>75</v>
      </c>
      <c r="C8" s="25" t="s">
        <v>21</v>
      </c>
      <c r="D8" s="25" t="s">
        <v>76</v>
      </c>
      <c r="E8" s="25" t="s">
        <v>53</v>
      </c>
    </row>
    <row r="9" spans="2:5" ht="36" customHeight="1" x14ac:dyDescent="0.3">
      <c r="B9" s="22" t="s">
        <v>77</v>
      </c>
      <c r="C9" s="23" t="s">
        <v>22</v>
      </c>
      <c r="D9" s="23" t="s">
        <v>78</v>
      </c>
      <c r="E9" s="23" t="s">
        <v>55</v>
      </c>
    </row>
    <row r="10" spans="2:5" ht="36" customHeight="1" x14ac:dyDescent="0.3">
      <c r="B10" s="24" t="s">
        <v>79</v>
      </c>
      <c r="C10" s="25" t="s">
        <v>23</v>
      </c>
      <c r="D10" s="25" t="s">
        <v>80</v>
      </c>
      <c r="E10" s="25" t="s">
        <v>57</v>
      </c>
    </row>
    <row r="12" spans="2:5" ht="36" customHeight="1" x14ac:dyDescent="0.3">
      <c r="B12" s="35" t="s">
        <v>81</v>
      </c>
      <c r="C12" s="35"/>
      <c r="D12" s="35"/>
      <c r="E12" s="35"/>
    </row>
  </sheetData>
  <mergeCells count="2">
    <mergeCell ref="B1:E1"/>
    <mergeCell ref="B12:E12"/>
  </mergeCells>
  <pageMargins left="0.75" right="0.75" top="1" bottom="1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Matrix_1</vt:lpstr>
      <vt:lpstr>Matrix_2</vt:lpstr>
      <vt:lpstr>Matrix_3</vt:lpstr>
      <vt:lpstr>Parameter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Yogesh Murali</cp:lastModifiedBy>
  <cp:revision>1</cp:revision>
  <dcterms:created xsi:type="dcterms:W3CDTF">2026-06-10T08:46:01Z</dcterms:created>
  <dcterms:modified xsi:type="dcterms:W3CDTF">2026-06-15T12:00:10Z</dcterms:modified>
  <dc:language>en-US</dc:language>
</cp:coreProperties>
</file>